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8_{B27DA303-3BEC-4A54-8423-EFE53E193955}" xr6:coauthVersionLast="47" xr6:coauthVersionMax="47" xr10:uidLastSave="{00000000-0000-0000-0000-000000000000}"/>
  <bookViews>
    <workbookView xWindow="14295" yWindow="0" windowWidth="14610" windowHeight="15585" activeTab="1" xr2:uid="{10F8E0B2-6B53-4881-A185-791C00000AAB}"/>
  </bookViews>
  <sheets>
    <sheet name="SE" sheetId="1" r:id="rId1"/>
    <sheet name="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9" i="2"/>
  <c r="B8" i="2"/>
  <c r="B7" i="2"/>
  <c r="B6" i="2"/>
  <c r="B5" i="2"/>
  <c r="B4" i="2"/>
  <c r="B3" i="2"/>
  <c r="B2" i="2"/>
  <c r="B12" i="1"/>
  <c r="B13" i="1"/>
  <c r="B11" i="1"/>
  <c r="B10" i="1"/>
  <c r="B9" i="1"/>
  <c r="B8" i="1"/>
  <c r="B7" i="1"/>
  <c r="B6" i="1"/>
  <c r="B5" i="1"/>
  <c r="B3" i="1"/>
  <c r="B2" i="1"/>
  <c r="B4" i="1"/>
</calcChain>
</file>

<file path=xl/sharedStrings.xml><?xml version="1.0" encoding="utf-8"?>
<sst xmlns="http://schemas.openxmlformats.org/spreadsheetml/2006/main" count="28" uniqueCount="14">
  <si>
    <t>Material</t>
  </si>
  <si>
    <t>Roughness</t>
  </si>
  <si>
    <t>Glass</t>
  </si>
  <si>
    <t>Plastic</t>
  </si>
  <si>
    <t>Concrete</t>
  </si>
  <si>
    <t>Wood Stave</t>
  </si>
  <si>
    <t>Smoothed Rubber</t>
  </si>
  <si>
    <t>Copper</t>
  </si>
  <si>
    <t>Brass Tubing</t>
  </si>
  <si>
    <t>Cast Iron</t>
  </si>
  <si>
    <t>Galvanized Iron</t>
  </si>
  <si>
    <t>Wrought Iron</t>
  </si>
  <si>
    <t>Stainless Steel</t>
  </si>
  <si>
    <t>Commercial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</si>
</sst>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D843-17DF-4342-B062-D284872F608F}">
  <dimension ref="A1:B13"/>
  <sheetViews>
    <sheetView workbookViewId="0">
      <selection activeCell="B32" sqref="B32"/>
    </sheetView>
  </sheetViews>
  <sheetFormatPr defaultRowHeight="15" x14ac:dyDescent="0.25"/>
  <cols>
    <col min="1" max="1" width="18.85546875" customWidth="1"/>
    <col min="2" max="2" width="1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f>0</f>
        <v>0</v>
      </c>
    </row>
    <row r="3" spans="1:2" x14ac:dyDescent="0.25">
      <c r="A3" s="1" t="s">
        <v>3</v>
      </c>
      <c r="B3" s="1">
        <f>0</f>
        <v>0</v>
      </c>
    </row>
    <row r="4" spans="1:2" x14ac:dyDescent="0.25">
      <c r="A4" s="1" t="s">
        <v>4</v>
      </c>
      <c r="B4" s="1">
        <f>(0.003+0.03)/2</f>
        <v>1.6500000000000001E-2</v>
      </c>
    </row>
    <row r="5" spans="1:2" x14ac:dyDescent="0.25">
      <c r="A5" s="1" t="s">
        <v>5</v>
      </c>
      <c r="B5" s="1">
        <f>0.0016</f>
        <v>1.6000000000000001E-3</v>
      </c>
    </row>
    <row r="6" spans="1:2" x14ac:dyDescent="0.25">
      <c r="A6" s="1" t="s">
        <v>6</v>
      </c>
      <c r="B6" s="1">
        <f>0.000033</f>
        <v>3.3000000000000003E-5</v>
      </c>
    </row>
    <row r="7" spans="1:2" x14ac:dyDescent="0.25">
      <c r="A7" s="1" t="s">
        <v>7</v>
      </c>
      <c r="B7" s="1">
        <f>0.000005</f>
        <v>5.0000000000000004E-6</v>
      </c>
    </row>
    <row r="8" spans="1:2" x14ac:dyDescent="0.25">
      <c r="A8" s="1" t="s">
        <v>8</v>
      </c>
      <c r="B8" s="1">
        <f>0.000005</f>
        <v>5.0000000000000004E-6</v>
      </c>
    </row>
    <row r="9" spans="1:2" x14ac:dyDescent="0.25">
      <c r="A9" s="1" t="s">
        <v>9</v>
      </c>
      <c r="B9" s="1">
        <f>0.00085</f>
        <v>8.4999999999999995E-4</v>
      </c>
    </row>
    <row r="10" spans="1:2" x14ac:dyDescent="0.25">
      <c r="A10" s="1" t="s">
        <v>10</v>
      </c>
      <c r="B10" s="1">
        <f>0.0005</f>
        <v>5.0000000000000001E-4</v>
      </c>
    </row>
    <row r="11" spans="1:2" x14ac:dyDescent="0.25">
      <c r="A11" s="1" t="s">
        <v>11</v>
      </c>
      <c r="B11" s="1">
        <f>0.00015</f>
        <v>1.4999999999999999E-4</v>
      </c>
    </row>
    <row r="12" spans="1:2" x14ac:dyDescent="0.25">
      <c r="A12" s="1" t="s">
        <v>12</v>
      </c>
      <c r="B12" s="1">
        <f>0.000007</f>
        <v>6.9999999999999999E-6</v>
      </c>
    </row>
    <row r="13" spans="1:2" x14ac:dyDescent="0.25">
      <c r="A13" s="1" t="s">
        <v>13</v>
      </c>
      <c r="B13" s="1">
        <f>0.00015</f>
        <v>1.4999999999999999E-4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FA90-F295-4A39-B748-49065EA989AA}">
  <dimension ref="A1:B13"/>
  <sheetViews>
    <sheetView tabSelected="1" workbookViewId="0">
      <selection activeCell="B24" sqref="B24"/>
    </sheetView>
  </sheetViews>
  <sheetFormatPr defaultRowHeight="15" x14ac:dyDescent="0.25"/>
  <cols>
    <col min="1" max="1" width="19" customWidth="1"/>
    <col min="2" max="2" width="12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f>0</f>
        <v>0</v>
      </c>
    </row>
    <row r="3" spans="1:2" x14ac:dyDescent="0.25">
      <c r="A3" s="1" t="s">
        <v>3</v>
      </c>
      <c r="B3" s="1">
        <f>0</f>
        <v>0</v>
      </c>
    </row>
    <row r="4" spans="1:2" x14ac:dyDescent="0.25">
      <c r="A4" s="1" t="s">
        <v>4</v>
      </c>
      <c r="B4" s="1">
        <f>(0.9+9)/2*10^-3</f>
        <v>4.9500000000000004E-3</v>
      </c>
    </row>
    <row r="5" spans="1:2" x14ac:dyDescent="0.25">
      <c r="A5" s="1" t="s">
        <v>5</v>
      </c>
      <c r="B5" s="1">
        <f>0.5*10^-3</f>
        <v>5.0000000000000001E-4</v>
      </c>
    </row>
    <row r="6" spans="1:2" x14ac:dyDescent="0.25">
      <c r="A6" s="1" t="s">
        <v>6</v>
      </c>
      <c r="B6" s="1">
        <f>0.01*10^-3</f>
        <v>1.0000000000000001E-5</v>
      </c>
    </row>
    <row r="7" spans="1:2" x14ac:dyDescent="0.25">
      <c r="A7" s="1" t="s">
        <v>7</v>
      </c>
      <c r="B7" s="1">
        <f>0.0015*10^-3</f>
        <v>1.5E-6</v>
      </c>
    </row>
    <row r="8" spans="1:2" x14ac:dyDescent="0.25">
      <c r="A8" s="1" t="s">
        <v>8</v>
      </c>
      <c r="B8" s="1">
        <f>0.0015*10^-3</f>
        <v>1.5E-6</v>
      </c>
    </row>
    <row r="9" spans="1:2" x14ac:dyDescent="0.25">
      <c r="A9" s="1" t="s">
        <v>9</v>
      </c>
      <c r="B9" s="1">
        <f>0.26*10^-3</f>
        <v>2.6000000000000003E-4</v>
      </c>
    </row>
    <row r="10" spans="1:2" x14ac:dyDescent="0.25">
      <c r="A10" s="1" t="s">
        <v>10</v>
      </c>
      <c r="B10" s="1">
        <f>0.15*10^-3</f>
        <v>1.4999999999999999E-4</v>
      </c>
    </row>
    <row r="11" spans="1:2" x14ac:dyDescent="0.25">
      <c r="A11" s="1" t="s">
        <v>11</v>
      </c>
      <c r="B11" s="1">
        <f>0.046*10^-3</f>
        <v>4.6E-5</v>
      </c>
    </row>
    <row r="12" spans="1:2" x14ac:dyDescent="0.25">
      <c r="A12" s="1" t="s">
        <v>12</v>
      </c>
      <c r="B12" s="1">
        <f>0.002*10^-3</f>
        <v>1.9999999999999999E-6</v>
      </c>
    </row>
    <row r="13" spans="1:2" x14ac:dyDescent="0.25">
      <c r="A13" s="1" t="s">
        <v>13</v>
      </c>
      <c r="B13" s="1">
        <f>0.045*10^-3</f>
        <v>4.4999999999999996E-5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1B9A04819C64FB02C045921A5342B" ma:contentTypeVersion="11" ma:contentTypeDescription="Create a new document." ma:contentTypeScope="" ma:versionID="604c5bcb9c62613d2913d71d4108f0eb">
  <xsd:schema xmlns:xsd="http://www.w3.org/2001/XMLSchema" xmlns:xs="http://www.w3.org/2001/XMLSchema" xmlns:p="http://schemas.microsoft.com/office/2006/metadata/properties" xmlns:ns3="94f260e7-8435-457d-b603-d9cb56cafdf4" targetNamespace="http://schemas.microsoft.com/office/2006/metadata/properties" ma:root="true" ma:fieldsID="98a6b49dc39819a6751a286edd729501" ns3:_="">
    <xsd:import namespace="94f260e7-8435-457d-b603-d9cb56cafd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260e7-8435-457d-b603-d9cb56cafd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f260e7-8435-457d-b603-d9cb56cafdf4" xsi:nil="true"/>
  </documentManagement>
</p:properties>
</file>

<file path=customXml/itemProps1.xml><?xml version="1.0" encoding="utf-8"?>
<ds:datastoreItem xmlns:ds="http://schemas.openxmlformats.org/officeDocument/2006/customXml" ds:itemID="{741326FC-ACAF-438D-834A-B9AA8E918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260e7-8435-457d-b603-d9cb56caf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474CF-3C48-4F22-8968-F83B03D5C4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55BB2B-2724-471B-8D2B-B7888EB2D8B6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4f260e7-8435-457d-b603-d9cb56cafdf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</vt:lpstr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baez_153427</dc:creator>
  <cp:lastModifiedBy>baez_153427</cp:lastModifiedBy>
  <dcterms:created xsi:type="dcterms:W3CDTF">2026-02-25T20:08:24Z</dcterms:created>
  <dcterms:modified xsi:type="dcterms:W3CDTF">2026-02-25T20:28:08Z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0x010100D561B9A04819C64FB02C045921A5342B</vt:lpwstr>
  </property>
</Properties>
</file>